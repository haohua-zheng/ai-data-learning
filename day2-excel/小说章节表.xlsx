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mycode\ai-data-learning\day2-excel\"/>
    </mc:Choice>
  </mc:AlternateContent>
  <xr:revisionPtr revIDLastSave="0" documentId="13_ncr:1_{A42178BD-0BBB-48C3-A0BB-AB1C14D28EB8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Sheet1!$A$1:$F$12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L3" i="1"/>
  <c r="L4" i="1"/>
  <c r="L5" i="1"/>
  <c r="L6" i="1"/>
  <c r="L7" i="1"/>
  <c r="L8" i="1"/>
  <c r="L9" i="1"/>
  <c r="L10" i="1"/>
  <c r="L11" i="1"/>
  <c r="L2" i="1"/>
  <c r="J12" i="1"/>
  <c r="J3" i="1"/>
  <c r="J4" i="1"/>
  <c r="J5" i="1"/>
  <c r="J6" i="1"/>
  <c r="J7" i="1"/>
  <c r="J8" i="1"/>
  <c r="J9" i="1"/>
  <c r="J10" i="1"/>
  <c r="J11" i="1"/>
  <c r="J2" i="1"/>
  <c r="G12" i="1"/>
  <c r="E13" i="1"/>
  <c r="I4" i="1"/>
  <c r="I3" i="1"/>
  <c r="I2" i="1"/>
  <c r="E12" i="1"/>
</calcChain>
</file>

<file path=xl/sharedStrings.xml><?xml version="1.0" encoding="utf-8"?>
<sst xmlns="http://schemas.openxmlformats.org/spreadsheetml/2006/main" count="53" uniqueCount="40">
  <si>
    <t>书名</t>
    <phoneticPr fontId="1" type="noConversion"/>
  </si>
  <si>
    <t>章节名</t>
    <phoneticPr fontId="1" type="noConversion"/>
  </si>
  <si>
    <t>分类</t>
    <phoneticPr fontId="1" type="noConversion"/>
  </si>
  <si>
    <t>字数</t>
    <phoneticPr fontId="1" type="noConversion"/>
  </si>
  <si>
    <t>更新日期</t>
    <phoneticPr fontId="1" type="noConversion"/>
  </si>
  <si>
    <t>夜的命名术</t>
  </si>
  <si>
    <t>夜的命名术</t>
    <phoneticPr fontId="1" type="noConversion"/>
  </si>
  <si>
    <t>斗破苍穹</t>
  </si>
  <si>
    <t>斗破苍穹</t>
    <phoneticPr fontId="1" type="noConversion"/>
  </si>
  <si>
    <t>庆余年</t>
  </si>
  <si>
    <t>庆余年</t>
    <phoneticPr fontId="1" type="noConversion"/>
  </si>
  <si>
    <t>诡秘之主</t>
  </si>
  <si>
    <t>诡秘之主</t>
    <phoneticPr fontId="1" type="noConversion"/>
  </si>
  <si>
    <t>凡人修仙传</t>
  </si>
  <si>
    <t>凡人修仙传</t>
    <phoneticPr fontId="1" type="noConversion"/>
  </si>
  <si>
    <t>章节号</t>
    <phoneticPr fontId="1" type="noConversion"/>
  </si>
  <si>
    <t>入门</t>
    <phoneticPr fontId="1" type="noConversion"/>
  </si>
  <si>
    <t>山村</t>
    <phoneticPr fontId="1" type="noConversion"/>
  </si>
  <si>
    <t>占卜</t>
    <phoneticPr fontId="1" type="noConversion"/>
  </si>
  <si>
    <t>序章</t>
    <phoneticPr fontId="1" type="noConversion"/>
  </si>
  <si>
    <t>京都</t>
    <phoneticPr fontId="1" type="noConversion"/>
  </si>
  <si>
    <t>少年</t>
    <phoneticPr fontId="1" type="noConversion"/>
  </si>
  <si>
    <t>异火</t>
    <phoneticPr fontId="1" type="noConversion"/>
  </si>
  <si>
    <t>退婚</t>
    <phoneticPr fontId="1" type="noConversion"/>
  </si>
  <si>
    <t>旧城</t>
    <phoneticPr fontId="1" type="noConversion"/>
  </si>
  <si>
    <t>醒来</t>
    <phoneticPr fontId="1" type="noConversion"/>
  </si>
  <si>
    <t>科幻</t>
    <phoneticPr fontId="1" type="noConversion"/>
  </si>
  <si>
    <t>玄幻</t>
    <phoneticPr fontId="1" type="noConversion"/>
  </si>
  <si>
    <t>历史</t>
    <phoneticPr fontId="1" type="noConversion"/>
  </si>
  <si>
    <t>奇幻</t>
    <phoneticPr fontId="1" type="noConversion"/>
  </si>
  <si>
    <t>仙侠</t>
    <phoneticPr fontId="1" type="noConversion"/>
  </si>
  <si>
    <t xml:space="preserve"> 2026/9/3</t>
    <phoneticPr fontId="1" type="noConversion"/>
  </si>
  <si>
    <t>分类统计</t>
    <phoneticPr fontId="1" type="noConversion"/>
  </si>
  <si>
    <t>数量</t>
    <phoneticPr fontId="1" type="noConversion"/>
  </si>
  <si>
    <t>行标签</t>
  </si>
  <si>
    <t>总计</t>
  </si>
  <si>
    <t>求和项:字数</t>
  </si>
  <si>
    <t>字数文本</t>
    <phoneticPr fontId="1" type="noConversion"/>
  </si>
  <si>
    <t>字数数字</t>
    <phoneticPr fontId="1" type="noConversion"/>
  </si>
  <si>
    <t>转数字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</si>
</sst>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郑皓桦" refreshedDate="46269.648617708335" createdVersion="8" refreshedVersion="8" minRefreshableVersion="3" recordCount="10" xr:uid="{721B4EE6-783D-4B79-8B65-641324BFA6A8}">
  <cacheSource type="worksheet">
    <worksheetSource ref="A1:F11" sheet="Sheet1"/>
  </cacheSource>
  <cacheFields count="6">
    <cacheField name="书名" numFmtId="0">
      <sharedItems count="5">
        <s v="凡人修仙传"/>
        <s v="斗破苍穹"/>
        <s v="庆余年"/>
        <s v="夜的命名术"/>
        <s v="诡秘之主"/>
      </sharedItems>
    </cacheField>
    <cacheField name="章节号" numFmtId="0">
      <sharedItems containsSemiMixedTypes="0" containsString="0" containsNumber="1" containsInteger="1" minValue="1" maxValue="2"/>
    </cacheField>
    <cacheField name="章节名" numFmtId="0">
      <sharedItems/>
    </cacheField>
    <cacheField name="分类" numFmtId="0">
      <sharedItems/>
    </cacheField>
    <cacheField name="字数" numFmtId="0">
      <sharedItems containsSemiMixedTypes="0" containsString="0" containsNumber="1" containsInteger="1" minValue="2700" maxValue="3600"/>
    </cacheField>
    <cacheField name="更新日期" numFmtId="14">
      <sharedItems containsDate="1" containsMixedTypes="1" minDate="2026-09-01T00:00:00" maxDate="2026-09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"/>
    <s v="入门"/>
    <s v="仙侠"/>
    <n v="3600"/>
    <d v="2026-09-04T00:00:00"/>
  </r>
  <r>
    <x v="1"/>
    <n v="1"/>
    <s v="退婚"/>
    <s v="玄幻"/>
    <n v="3500"/>
    <d v="2026-09-01T00:00:00"/>
  </r>
  <r>
    <x v="2"/>
    <n v="2"/>
    <s v="京都"/>
    <s v="历史"/>
    <n v="3300"/>
    <s v=" 2026/9/3"/>
  </r>
  <r>
    <x v="0"/>
    <n v="1"/>
    <s v="山村"/>
    <s v="仙侠"/>
    <n v="3300"/>
    <d v="2026-09-03T00:00:00"/>
  </r>
  <r>
    <x v="3"/>
    <n v="1"/>
    <s v="醒来"/>
    <s v="科幻"/>
    <n v="3200"/>
    <d v="2026-09-01T00:00:00"/>
  </r>
  <r>
    <x v="1"/>
    <n v="2"/>
    <s v="异火"/>
    <s v="玄幻"/>
    <n v="3100"/>
    <d v="2026-09-03T00:00:00"/>
  </r>
  <r>
    <x v="4"/>
    <n v="1"/>
    <s v="序章"/>
    <s v="奇幻"/>
    <n v="3000"/>
    <d v="2026-09-01T00:00:00"/>
  </r>
  <r>
    <x v="2"/>
    <n v="1"/>
    <s v="少年"/>
    <s v="历史"/>
    <n v="2900"/>
    <d v="2026-09-02T00:00:00"/>
  </r>
  <r>
    <x v="3"/>
    <n v="2"/>
    <s v="旧城"/>
    <s v="科幻"/>
    <n v="2800"/>
    <d v="2026-09-02T00:00:00"/>
  </r>
  <r>
    <x v="4"/>
    <n v="2"/>
    <s v="占卜"/>
    <s v="奇幻"/>
    <n v="2700"/>
    <d v="2026-09-0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17B19-8F8D-44DA-88EB-DFC904B56C64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字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5D40-E993-41CE-8D8B-935A6829B3B7}">
  <dimension ref="A3:B9"/>
  <sheetViews>
    <sheetView workbookViewId="0">
      <selection activeCell="C29" sqref="C29"/>
    </sheetView>
  </sheetViews>
  <sheetFormatPr defaultRowHeight="13.8" x14ac:dyDescent="0.25"/>
  <cols>
    <col min="1" max="1" width="11.6640625" bestFit="1" customWidth="1"/>
    <col min="2" max="2" width="14.44140625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7</v>
      </c>
      <c r="B4" s="4">
        <v>6600</v>
      </c>
    </row>
    <row r="5" spans="1:2" x14ac:dyDescent="0.25">
      <c r="A5" s="3" t="s">
        <v>13</v>
      </c>
      <c r="B5" s="4">
        <v>6900</v>
      </c>
    </row>
    <row r="6" spans="1:2" x14ac:dyDescent="0.25">
      <c r="A6" s="3" t="s">
        <v>11</v>
      </c>
      <c r="B6" s="4">
        <v>5700</v>
      </c>
    </row>
    <row r="7" spans="1:2" x14ac:dyDescent="0.25">
      <c r="A7" s="3" t="s">
        <v>9</v>
      </c>
      <c r="B7" s="4">
        <v>6200</v>
      </c>
    </row>
    <row r="8" spans="1:2" x14ac:dyDescent="0.25">
      <c r="A8" s="3" t="s">
        <v>5</v>
      </c>
      <c r="B8" s="4">
        <v>6000</v>
      </c>
    </row>
    <row r="9" spans="1:2" x14ac:dyDescent="0.25">
      <c r="A9" s="3" t="s">
        <v>35</v>
      </c>
      <c r="B9" s="4">
        <v>31400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B1" workbookViewId="0">
      <selection activeCell="G7" sqref="G7"/>
    </sheetView>
  </sheetViews>
  <sheetFormatPr defaultRowHeight="13.8" x14ac:dyDescent="0.25"/>
  <cols>
    <col min="5" max="6" width="9.109375" bestFit="1" customWidth="1"/>
    <col min="9" max="9" width="9.109375" bestFit="1" customWidth="1"/>
  </cols>
  <sheetData>
    <row r="1" spans="1:12" x14ac:dyDescent="0.25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s="5" t="s">
        <v>37</v>
      </c>
      <c r="H1" t="s">
        <v>32</v>
      </c>
      <c r="I1" t="s">
        <v>33</v>
      </c>
      <c r="J1" t="s">
        <v>38</v>
      </c>
      <c r="K1">
        <v>1200</v>
      </c>
      <c r="L1" t="s">
        <v>39</v>
      </c>
    </row>
    <row r="2" spans="1:12" x14ac:dyDescent="0.25">
      <c r="A2" t="s">
        <v>14</v>
      </c>
      <c r="B2">
        <v>2</v>
      </c>
      <c r="C2" t="s">
        <v>16</v>
      </c>
      <c r="D2" t="s">
        <v>30</v>
      </c>
      <c r="E2">
        <v>3600</v>
      </c>
      <c r="F2" s="1">
        <v>46269</v>
      </c>
      <c r="G2" s="5">
        <v>3600</v>
      </c>
      <c r="H2" t="s">
        <v>27</v>
      </c>
      <c r="I2">
        <f>COUNTIF(D2:D11,H2)</f>
        <v>2</v>
      </c>
      <c r="J2">
        <f>VALUE(G2)</f>
        <v>3600</v>
      </c>
      <c r="K2">
        <v>1356</v>
      </c>
      <c r="L2" s="5">
        <f>G2*1</f>
        <v>3600</v>
      </c>
    </row>
    <row r="3" spans="1:12" x14ac:dyDescent="0.25">
      <c r="A3" t="s">
        <v>8</v>
      </c>
      <c r="B3">
        <v>1</v>
      </c>
      <c r="C3" t="s">
        <v>23</v>
      </c>
      <c r="D3" t="s">
        <v>27</v>
      </c>
      <c r="E3">
        <v>3500</v>
      </c>
      <c r="F3" s="1">
        <v>46266</v>
      </c>
      <c r="G3" s="6">
        <v>3500</v>
      </c>
      <c r="H3" t="s">
        <v>26</v>
      </c>
      <c r="I3">
        <f>COUNTIF(D3:D12,H3)</f>
        <v>2</v>
      </c>
      <c r="J3">
        <f t="shared" ref="J3:J11" si="0">VALUE(G3)</f>
        <v>3500</v>
      </c>
      <c r="K3">
        <v>9820</v>
      </c>
      <c r="L3" s="5">
        <f t="shared" ref="L3:L11" si="1">G3*1</f>
        <v>3500</v>
      </c>
    </row>
    <row r="4" spans="1:12" x14ac:dyDescent="0.25">
      <c r="A4" t="s">
        <v>10</v>
      </c>
      <c r="B4">
        <v>2</v>
      </c>
      <c r="C4" t="s">
        <v>20</v>
      </c>
      <c r="D4" t="s">
        <v>28</v>
      </c>
      <c r="E4">
        <v>3300</v>
      </c>
      <c r="F4" s="1" t="s">
        <v>31</v>
      </c>
      <c r="G4" s="5">
        <v>3300</v>
      </c>
      <c r="H4" t="s">
        <v>28</v>
      </c>
      <c r="I4">
        <f>COUNTIF(D2:D11,"历史")</f>
        <v>2</v>
      </c>
      <c r="J4">
        <f t="shared" si="0"/>
        <v>3300</v>
      </c>
      <c r="K4">
        <v>6562</v>
      </c>
      <c r="L4" s="5">
        <f t="shared" si="1"/>
        <v>3300</v>
      </c>
    </row>
    <row r="5" spans="1:12" x14ac:dyDescent="0.25">
      <c r="A5" t="s">
        <v>14</v>
      </c>
      <c r="B5">
        <v>1</v>
      </c>
      <c r="C5" t="s">
        <v>17</v>
      </c>
      <c r="D5" t="s">
        <v>30</v>
      </c>
      <c r="E5">
        <v>3300</v>
      </c>
      <c r="F5" s="1">
        <v>46268</v>
      </c>
      <c r="G5" s="5">
        <v>3300</v>
      </c>
      <c r="J5">
        <f t="shared" si="0"/>
        <v>3300</v>
      </c>
      <c r="K5">
        <v>5630</v>
      </c>
      <c r="L5" s="5">
        <f t="shared" si="1"/>
        <v>3300</v>
      </c>
    </row>
    <row r="6" spans="1:12" x14ac:dyDescent="0.25">
      <c r="A6" t="s">
        <v>6</v>
      </c>
      <c r="B6">
        <v>1</v>
      </c>
      <c r="C6" t="s">
        <v>25</v>
      </c>
      <c r="D6" t="s">
        <v>26</v>
      </c>
      <c r="E6">
        <v>3200</v>
      </c>
      <c r="F6" s="1">
        <v>46266</v>
      </c>
      <c r="G6" s="5">
        <v>3200</v>
      </c>
      <c r="J6">
        <f t="shared" si="0"/>
        <v>3200</v>
      </c>
      <c r="L6" s="5">
        <f t="shared" si="1"/>
        <v>3200</v>
      </c>
    </row>
    <row r="7" spans="1:12" x14ac:dyDescent="0.25">
      <c r="A7" t="s">
        <v>8</v>
      </c>
      <c r="B7">
        <v>2</v>
      </c>
      <c r="C7" t="s">
        <v>22</v>
      </c>
      <c r="D7" t="s">
        <v>27</v>
      </c>
      <c r="E7">
        <v>3100</v>
      </c>
      <c r="F7" s="1">
        <v>46268</v>
      </c>
      <c r="G7" s="5">
        <v>3100</v>
      </c>
      <c r="J7">
        <f t="shared" si="0"/>
        <v>3100</v>
      </c>
      <c r="L7" s="5">
        <f t="shared" si="1"/>
        <v>3100</v>
      </c>
    </row>
    <row r="8" spans="1:12" x14ac:dyDescent="0.25">
      <c r="A8" t="s">
        <v>12</v>
      </c>
      <c r="B8">
        <v>1</v>
      </c>
      <c r="C8" t="s">
        <v>19</v>
      </c>
      <c r="D8" t="s">
        <v>29</v>
      </c>
      <c r="E8">
        <v>3000</v>
      </c>
      <c r="F8" s="1">
        <v>46266</v>
      </c>
      <c r="G8" s="5">
        <v>3000</v>
      </c>
      <c r="J8">
        <f t="shared" si="0"/>
        <v>3000</v>
      </c>
      <c r="L8" s="5">
        <f t="shared" si="1"/>
        <v>3000</v>
      </c>
    </row>
    <row r="9" spans="1:12" x14ac:dyDescent="0.25">
      <c r="A9" t="s">
        <v>10</v>
      </c>
      <c r="B9">
        <v>1</v>
      </c>
      <c r="C9" t="s">
        <v>21</v>
      </c>
      <c r="D9" t="s">
        <v>28</v>
      </c>
      <c r="E9">
        <v>2900</v>
      </c>
      <c r="F9" s="1">
        <v>46267</v>
      </c>
      <c r="G9" s="5">
        <v>2900</v>
      </c>
      <c r="J9">
        <f t="shared" si="0"/>
        <v>2900</v>
      </c>
      <c r="L9" s="5">
        <f t="shared" si="1"/>
        <v>2900</v>
      </c>
    </row>
    <row r="10" spans="1:12" x14ac:dyDescent="0.25">
      <c r="A10" t="s">
        <v>6</v>
      </c>
      <c r="B10">
        <v>2</v>
      </c>
      <c r="C10" t="s">
        <v>24</v>
      </c>
      <c r="D10" t="s">
        <v>26</v>
      </c>
      <c r="E10">
        <v>2800</v>
      </c>
      <c r="F10" s="1">
        <v>46267</v>
      </c>
      <c r="G10" s="5">
        <v>2800</v>
      </c>
      <c r="J10">
        <f t="shared" si="0"/>
        <v>2800</v>
      </c>
      <c r="L10" s="5">
        <f t="shared" si="1"/>
        <v>2800</v>
      </c>
    </row>
    <row r="11" spans="1:12" x14ac:dyDescent="0.25">
      <c r="A11" t="s">
        <v>12</v>
      </c>
      <c r="B11">
        <v>2</v>
      </c>
      <c r="C11" t="s">
        <v>18</v>
      </c>
      <c r="D11" t="s">
        <v>29</v>
      </c>
      <c r="E11">
        <v>2700</v>
      </c>
      <c r="F11" s="1">
        <v>46267</v>
      </c>
      <c r="G11" s="5">
        <v>2700</v>
      </c>
      <c r="J11">
        <f t="shared" si="0"/>
        <v>2700</v>
      </c>
      <c r="L11" s="5">
        <f t="shared" si="1"/>
        <v>2700</v>
      </c>
    </row>
    <row r="12" spans="1:12" x14ac:dyDescent="0.25">
      <c r="E12">
        <f>SUM(E2:E11)</f>
        <v>31400</v>
      </c>
      <c r="F12" t="e">
        <f>DATEVALUE(F2)</f>
        <v>#VALUE!</v>
      </c>
      <c r="G12" s="5">
        <f>SUM(G2:G11)</f>
        <v>31400</v>
      </c>
      <c r="J12">
        <f>SUM(J2:J11)</f>
        <v>31400</v>
      </c>
    </row>
    <row r="13" spans="1:12" x14ac:dyDescent="0.25">
      <c r="E13">
        <f>AVERAGE(E2:E11)</f>
        <v>3140</v>
      </c>
    </row>
  </sheetData>
  <autoFilter ref="A1:F12" xr:uid="{00000000-0001-0000-0000-000000000000}"/>
  <sortState xmlns:xlrd2="http://schemas.microsoft.com/office/spreadsheetml/2017/richdata2" ref="A2:F11">
    <sortCondition descending="1" ref="E2:E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郑皓桦</dc:creator>
  <cp:lastModifiedBy>皓桦 郑</cp:lastModifiedBy>
  <dcterms:created xsi:type="dcterms:W3CDTF">2015-06-05T18:19:34Z</dcterms:created>
  <dcterms:modified xsi:type="dcterms:W3CDTF">2026-09-04T09:21:06Z</dcterms:modified>
</cp:coreProperties>
</file>